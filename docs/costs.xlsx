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2d7119a8f54d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costs" sheetId="1" r:id="Rce1b9777bed24d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&quot;$&quot;#,##0.00;(&quot;$&quot;#,##0.00);&quot;-&quot;"/>
  </x:numFmts>
  <x:fonts count="6">
    <x:font>
      <x:sz val="11"/>
      <x:name val="Carlito"/>
    </x:font>
    <x:font>
      <x:sz val="10"/>
      <x:name val="Arial"/>
    </x:font>
    <x:font>
      <x:b/>
      <x:sz val="15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DF4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200" fontId="3" fillId="0" borderId="0" xfId="0" applyNumberFormat="1" applyFont="1" applyFill="1" applyBorder="1"/>
    <x:xf numFmtId="201" fontId="1" fillId="0" borderId="0" xfId="0" applyNumberFormat="1" applyFont="1" applyFill="1" applyBorder="1"/>
    <x:xf numFmtId="201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044232231b4e8b" /><Relationship Type="http://schemas.openxmlformats.org/officeDocument/2006/relationships/theme" Target="/xl/theme/theme1.xml" Id="R8be47483aaa541ec" /><Relationship Type="http://schemas.openxmlformats.org/officeDocument/2006/relationships/sharedStrings" Target="/xl/sharedStrings.xml" Id="R08b14dd895ad421c" /><Relationship Type="http://schemas.openxmlformats.org/officeDocument/2006/relationships/worksheet" Target="/xl/worksheets/sheet1.xml" Id="Rce1b9777bed24d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9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" hidden="0" customWidth="1"/>
    <x:col min="11" max="11" width="9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AWS platform monthly estimate (USD)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Provisional rates: verify Canada Central prices before budget approval. No discounts or taxes.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 t="str">
        <x:v>Hours per month</x:v>
      </x:c>
      <x:c r="B4" s="3" t="n">
        <x:v>730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32" customHeight="1">
      <x:c r="A6" s="6" t="str">
        <x:v>Service / usage</x:v>
      </x:c>
      <x:c r="B6" s="6" t="str">
        <x:v>Unit</x:v>
      </x:c>
      <x:c r="C6" s="6" t="str">
        <x:v>USD / unit</x:v>
      </x:c>
      <x:c r="D6" s="6" t="str">
        <x:v>DEV units</x:v>
      </x:c>
      <x:c r="E6" s="6" t="str">
        <x:v>DEV USD</x:v>
      </x:c>
      <x:c r="F6" s="6" t="str">
        <x:v>PROD units</x:v>
      </x:c>
      <x:c r="G6" s="6" t="str">
        <x:v>PROD USD</x:v>
      </x:c>
      <x:c r="H6" s="6" t="str">
        <x:v>Baseline units</x:v>
      </x:c>
      <x:c r="I6" s="6" t="str">
        <x:v>Baseline USD</x:v>
      </x:c>
      <x:c r="J6" s="1"/>
      <x:c r="K6" s="1" t="str">
        <x:v>Rate source / assumption</x:v>
      </x:c>
      <x:c r="L6" s="1"/>
    </x:row>
    <x:row r="7">
      <x:c r="A7" s="1" t="str">
        <x:v>EC2 t3.small</x:v>
      </x:c>
      <x:c r="B7" s="1" t="str">
        <x:v>hour</x:v>
      </x:c>
      <x:c r="C7" s="9" t="n">
        <x:v>0.0232</x:v>
      </x:c>
      <x:c r="D7" s="3" t="n">
        <x:f>$B$4*4</x:f>
        <x:v>2920</x:v>
      </x:c>
      <x:c r="E7" s="10" t="n">
        <x:f>C7*D7</x:f>
        <x:v>67.744</x:v>
      </x:c>
      <x:c r="F7" s="3" t="n">
        <x:f>$B$4*8</x:f>
        <x:v>5840</x:v>
      </x:c>
      <x:c r="G7" s="10" t="n">
        <x:f>C7*F7</x:f>
        <x:v>135.488</x:v>
      </x:c>
      <x:c r="H7" s="3" t="n">
        <x:f>$B$4*4</x:f>
        <x:v>2920</x:v>
      </x:c>
      <x:c r="I7" s="10" t="n">
        <x:f>C7*H7</x:f>
        <x:v>67.744</x:v>
      </x:c>
      <x:c r="J7" s="1"/>
      <x:c r="K7" s="1" t="str">
        <x:v>https://aws.amazon.com/ec2/pricing/on-demand/</x:v>
      </x:c>
      <x:c r="L7" s="1"/>
    </x:row>
    <x:row r="8">
      <x:c r="A8" s="1" t="str">
        <x:v>EBS gp3</x:v>
      </x:c>
      <x:c r="B8" s="1" t="str">
        <x:v>GB-month</x:v>
      </x:c>
      <x:c r="C8" s="9" t="n">
        <x:v>0.088</x:v>
      </x:c>
      <x:c r="D8" s="3" t="n">
        <x:v>48</x:v>
      </x:c>
      <x:c r="E8" s="10" t="n">
        <x:f>C8*D8</x:f>
        <x:v>4.224</x:v>
      </x:c>
      <x:c r="F8" s="3" t="n">
        <x:v>96</x:v>
      </x:c>
      <x:c r="G8" s="10" t="n">
        <x:f>C8*F8</x:f>
        <x:v>8.448</x:v>
      </x:c>
      <x:c r="H8" s="3" t="n">
        <x:v>48</x:v>
      </x:c>
      <x:c r="I8" s="10" t="n">
        <x:f>C8*H8</x:f>
        <x:v>4.224</x:v>
      </x:c>
      <x:c r="J8" s="1"/>
      <x:c r="K8" s="1" t="str">
        <x:v>https://aws.amazon.com/ebs/pricing/</x:v>
      </x:c>
      <x:c r="L8" s="1"/>
    </x:row>
    <x:row r="9">
      <x:c r="A9" s="1" t="str">
        <x:v>RDS transaction compute</x:v>
      </x:c>
      <x:c r="B9" s="1" t="str">
        <x:v>instance-hour</x:v>
      </x:c>
      <x:c r="C9" s="9" t="n">
        <x:v>0.036</x:v>
      </x:c>
      <x:c r="D9" s="3" t="n">
        <x:f>$B$4*2</x:f>
        <x:v>1460</x:v>
      </x:c>
      <x:c r="E9" s="10" t="n">
        <x:f>C9*D9</x:f>
        <x:v>52.559999999999995</x:v>
      </x:c>
      <x:c r="F9" s="3" t="n">
        <x:f>$B$4*2</x:f>
        <x:v>1460</x:v>
      </x:c>
      <x:c r="G9" s="10" t="n">
        <x:f>C9*F9</x:f>
        <x:v>52.559999999999995</x:v>
      </x:c>
      <x:c r="H9" s="3" t="n">
        <x:f>$B$4*2</x:f>
        <x:v>1460</x:v>
      </x:c>
      <x:c r="I9" s="10" t="n">
        <x:f>C9*H9</x:f>
        <x:v>52.559999999999995</x:v>
      </x:c>
      <x:c r="J9" s="1"/>
      <x:c r="K9" s="1" t="str">
        <x:v>https://aws.amazon.com/rds/postgresql/pricing/</x:v>
      </x:c>
      <x:c r="L9" s="1"/>
    </x:row>
    <x:row r="10">
      <x:c r="A10" s="1" t="str">
        <x:v>RDS history compute</x:v>
      </x:c>
      <x:c r="B10" s="1" t="str">
        <x:v>instance-hour</x:v>
      </x:c>
      <x:c r="C10" s="9" t="n">
        <x:v>0.036</x:v>
      </x:c>
      <x:c r="D10" s="3" t="n">
        <x:f>$B$4*1</x:f>
        <x:v>730</x:v>
      </x:c>
      <x:c r="E10" s="10" t="n">
        <x:f>C10*D10</x:f>
        <x:v>26.279999999999998</x:v>
      </x:c>
      <x:c r="F10" s="3" t="n">
        <x:f>$B$4*2</x:f>
        <x:v>1460</x:v>
      </x:c>
      <x:c r="G10" s="10" t="n">
        <x:f>C10*F10</x:f>
        <x:v>52.559999999999995</x:v>
      </x:c>
      <x:c r="H10" s="3" t="n">
        <x:f>$B$4*1</x:f>
        <x:v>730</x:v>
      </x:c>
      <x:c r="I10" s="10" t="n">
        <x:f>C10*H10</x:f>
        <x:v>26.279999999999998</x:v>
      </x:c>
      <x:c r="J10" s="1"/>
      <x:c r="K10" s="1" t="str">
        <x:v>https://aws.amazon.com/rds/postgresql/pricing/</x:v>
      </x:c>
      <x:c r="L10" s="1"/>
    </x:row>
    <x:row r="11">
      <x:c r="A11" s="1" t="str">
        <x:v>RDS storage incl. standby</x:v>
      </x:c>
      <x:c r="B11" s="1" t="str">
        <x:v>GB-month</x:v>
      </x:c>
      <x:c r="C11" s="9" t="n">
        <x:v>0.127</x:v>
      </x:c>
      <x:c r="D11" s="3" t="n">
        <x:v>60</x:v>
      </x:c>
      <x:c r="E11" s="10" t="n">
        <x:f>C11*D11</x:f>
        <x:v>7.62</x:v>
      </x:c>
      <x:c r="F11" s="3" t="n">
        <x:v>80</x:v>
      </x:c>
      <x:c r="G11" s="10" t="n">
        <x:f>C11*F11</x:f>
        <x:v>10.16</x:v>
      </x:c>
      <x:c r="H11" s="3" t="n">
        <x:v>60</x:v>
      </x:c>
      <x:c r="I11" s="10" t="n">
        <x:f>C11*H11</x:f>
        <x:v>7.62</x:v>
      </x:c>
      <x:c r="J11" s="1"/>
      <x:c r="K11" s="1" t="str">
        <x:v>https://aws.amazon.com/rds/postgresql/pricing/</x:v>
      </x:c>
      <x:c r="L11" s="1"/>
    </x:row>
    <x:row r="12">
      <x:c r="A12" s="1" t="str">
        <x:v>RDS excess backup allowance</x:v>
      </x:c>
      <x:c r="B12" s="1" t="str">
        <x:v>GB-month</x:v>
      </x:c>
      <x:c r="C12" s="9" t="n">
        <x:v>0.095</x:v>
      </x:c>
      <x:c r="D12" s="3" t="n">
        <x:v>20</x:v>
      </x:c>
      <x:c r="E12" s="10" t="n">
        <x:f>C12*D12</x:f>
        <x:v>1.9</x:v>
      </x:c>
      <x:c r="F12" s="3" t="n">
        <x:v>40</x:v>
      </x:c>
      <x:c r="G12" s="10" t="n">
        <x:f>C12*F12</x:f>
        <x:v>3.8</x:v>
      </x:c>
      <x:c r="H12" s="3" t="n">
        <x:v>20</x:v>
      </x:c>
      <x:c r="I12" s="10" t="n">
        <x:f>C12*H12</x:f>
        <x:v>1.9</x:v>
      </x:c>
      <x:c r="J12" s="1"/>
      <x:c r="K12" s="1" t="str">
        <x:v>https://aws.amazon.com/rds/postgresql/pricing/</x:v>
      </x:c>
      <x:c r="L12" s="1"/>
    </x:row>
    <x:row r="13">
      <x:c r="A13" s="1" t="str">
        <x:v>Redis compute</x:v>
      </x:c>
      <x:c r="B13" s="1" t="str">
        <x:v>node-hour</x:v>
      </x:c>
      <x:c r="C13" s="9" t="n">
        <x:v>0.036</x:v>
      </x:c>
      <x:c r="D13" s="3" t="n">
        <x:f>$B$4*1</x:f>
        <x:v>730</x:v>
      </x:c>
      <x:c r="E13" s="10" t="n">
        <x:f>C13*D13</x:f>
        <x:v>26.279999999999998</x:v>
      </x:c>
      <x:c r="F13" s="3" t="n">
        <x:f>$B$4*2</x:f>
        <x:v>1460</x:v>
      </x:c>
      <x:c r="G13" s="10" t="n">
        <x:f>C13*F13</x:f>
        <x:v>52.559999999999995</x:v>
      </x:c>
      <x:c r="H13" s="3" t="n">
        <x:f>$B$4*1</x:f>
        <x:v>730</x:v>
      </x:c>
      <x:c r="I13" s="10" t="n">
        <x:f>C13*H13</x:f>
        <x:v>26.279999999999998</x:v>
      </x:c>
      <x:c r="J13" s="1"/>
      <x:c r="K13" s="1" t="str">
        <x:v>https://aws.amazon.com/elasticache/pricing/</x:v>
      </x:c>
      <x:c r="L13" s="1"/>
    </x:row>
    <x:row r="14">
      <x:c r="A14" s="1" t="str">
        <x:v>ALB</x:v>
      </x:c>
      <x:c r="B14" s="1" t="str">
        <x:v>hour</x:v>
      </x:c>
      <x:c r="C14" s="9" t="n">
        <x:v>0.02475</x:v>
      </x:c>
      <x:c r="D14" s="3" t="n">
        <x:f>$B$4*1</x:f>
        <x:v>730</x:v>
      </x:c>
      <x:c r="E14" s="10" t="n">
        <x:f>C14*D14</x:f>
        <x:v>18.067500000000003</x:v>
      </x:c>
      <x:c r="F14" s="3" t="n">
        <x:f>$B$4*1</x:f>
        <x:v>730</x:v>
      </x:c>
      <x:c r="G14" s="10" t="n">
        <x:f>C14*F14</x:f>
        <x:v>18.067500000000003</x:v>
      </x:c>
      <x:c r="H14" s="3" t="n">
        <x:f>$B$4*1</x:f>
        <x:v>730</x:v>
      </x:c>
      <x:c r="I14" s="10" t="n">
        <x:f>C14*H14</x:f>
        <x:v>18.067500000000003</x:v>
      </x:c>
      <x:c r="J14" s="1"/>
      <x:c r="K14" s="1" t="str">
        <x:v>https://aws.amazon.com/elasticloadbalancing/pricing/</x:v>
      </x:c>
      <x:c r="L14" s="1"/>
    </x:row>
    <x:row r="15">
      <x:c r="A15" s="1" t="str">
        <x:v>ALB capacity (one LCU)</x:v>
      </x:c>
      <x:c r="B15" s="1" t="str">
        <x:v>LCU-hour</x:v>
      </x:c>
      <x:c r="C15" s="9" t="n">
        <x:v>0.0088</x:v>
      </x:c>
      <x:c r="D15" s="3" t="n">
        <x:f>$B$4*1</x:f>
        <x:v>730</x:v>
      </x:c>
      <x:c r="E15" s="10" t="n">
        <x:f>C15*D15</x:f>
        <x:v>6.424</x:v>
      </x:c>
      <x:c r="F15" s="3" t="n">
        <x:f>$B$4*1</x:f>
        <x:v>730</x:v>
      </x:c>
      <x:c r="G15" s="10" t="n">
        <x:f>C15*F15</x:f>
        <x:v>6.424</x:v>
      </x:c>
      <x:c r="H15" s="3" t="n">
        <x:f>$B$4*1</x:f>
        <x:v>730</x:v>
      </x:c>
      <x:c r="I15" s="10" t="n">
        <x:f>C15*H15</x:f>
        <x:v>6.424</x:v>
      </x:c>
      <x:c r="J15" s="1"/>
      <x:c r="K15" s="1" t="str">
        <x:v>https://aws.amazon.com/elasticloadbalancing/pricing/</x:v>
      </x:c>
      <x:c r="L15" s="1"/>
    </x:row>
    <x:row r="16">
      <x:c r="A16" s="1" t="str">
        <x:v>NAT gateway</x:v>
      </x:c>
      <x:c r="B16" s="1" t="str">
        <x:v>hour</x:v>
      </x:c>
      <x:c r="C16" s="9" t="n">
        <x:v>0.045</x:v>
      </x:c>
      <x:c r="D16" s="3" t="n">
        <x:f>$B$4*1</x:f>
        <x:v>730</x:v>
      </x:c>
      <x:c r="E16" s="10" t="n">
        <x:f>C16*D16</x:f>
        <x:v>32.85</x:v>
      </x:c>
      <x:c r="F16" s="3" t="n">
        <x:f>$B$4*2</x:f>
        <x:v>1460</x:v>
      </x:c>
      <x:c r="G16" s="10" t="n">
        <x:f>C16*F16</x:f>
        <x:v>65.7</x:v>
      </x:c>
      <x:c r="H16" s="3" t="n">
        <x:f>$B$4*1</x:f>
        <x:v>730</x:v>
      </x:c>
      <x:c r="I16" s="10" t="n">
        <x:f>C16*H16</x:f>
        <x:v>32.85</x:v>
      </x:c>
      <x:c r="J16" s="1"/>
      <x:c r="K16" s="1" t="str">
        <x:v>https://aws.amazon.com/vpc/pricing/</x:v>
      </x:c>
      <x:c r="L16" s="1"/>
    </x:row>
    <x:row r="17">
      <x:c r="A17" s="1" t="str">
        <x:v>NAT processed data</x:v>
      </x:c>
      <x:c r="B17" s="1" t="str">
        <x:v>GB</x:v>
      </x:c>
      <x:c r="C17" s="9" t="n">
        <x:v>0.045</x:v>
      </x:c>
      <x:c r="D17" s="3" t="n">
        <x:v>100</x:v>
      </x:c>
      <x:c r="E17" s="10" t="n">
        <x:f>C17*D17</x:f>
        <x:v>4.5</x:v>
      </x:c>
      <x:c r="F17" s="3" t="n">
        <x:v>300</x:v>
      </x:c>
      <x:c r="G17" s="10" t="n">
        <x:f>C17*F17</x:f>
        <x:v>13.5</x:v>
      </x:c>
      <x:c r="H17" s="3" t="n">
        <x:v>100</x:v>
      </x:c>
      <x:c r="I17" s="10" t="n">
        <x:f>C17*H17</x:f>
        <x:v>4.5</x:v>
      </x:c>
      <x:c r="J17" s="1"/>
      <x:c r="K17" s="1" t="str">
        <x:v>https://aws.amazon.com/vpc/pricing/</x:v>
      </x:c>
      <x:c r="L17" s="1"/>
    </x:row>
    <x:row r="18">
      <x:c r="A18" s="1" t="str">
        <x:v>Public IPv4 (NAT + ALB minimum)</x:v>
      </x:c>
      <x:c r="B18" s="1" t="str">
        <x:v>address-hour</x:v>
      </x:c>
      <x:c r="C18" s="9" t="n">
        <x:v>0.005</x:v>
      </x:c>
      <x:c r="D18" s="3" t="n">
        <x:f>$B$4*3</x:f>
        <x:v>2190</x:v>
      </x:c>
      <x:c r="E18" s="10" t="n">
        <x:f>C18*D18</x:f>
        <x:v>10.950000000000001</x:v>
      </x:c>
      <x:c r="F18" s="3" t="n">
        <x:f>$B$4*4</x:f>
        <x:v>2920</x:v>
      </x:c>
      <x:c r="G18" s="10" t="n">
        <x:f>C18*F18</x:f>
        <x:v>14.6</x:v>
      </x:c>
      <x:c r="H18" s="3" t="n">
        <x:f>$B$4*3</x:f>
        <x:v>2190</x:v>
      </x:c>
      <x:c r="I18" s="10" t="n">
        <x:f>C18*H18</x:f>
        <x:v>10.950000000000001</x:v>
      </x:c>
      <x:c r="J18" s="1"/>
      <x:c r="K18" s="1" t="str">
        <x:v>https://aws.amazon.com/vpc/pricing/</x:v>
      </x:c>
      <x:c r="L18" s="1"/>
    </x:row>
    <x:row r="19">
      <x:c r="A19" s="1" t="str">
        <x:v>Cross-AZ / peering transfer</x:v>
      </x:c>
      <x:c r="B19" s="1" t="str">
        <x:v>billed GB</x:v>
      </x:c>
      <x:c r="C19" s="9" t="n">
        <x:v>0.01</x:v>
      </x:c>
      <x:c r="D19" s="3" t="n">
        <x:v>100</x:v>
      </x:c>
      <x:c r="E19" s="10" t="n">
        <x:f>C19*D19</x:f>
        <x:v>1</x:v>
      </x:c>
      <x:c r="F19" s="3" t="n">
        <x:v>200</x:v>
      </x:c>
      <x:c r="G19" s="10" t="n">
        <x:f>C19*F19</x:f>
        <x:v>2</x:v>
      </x:c>
      <x:c r="H19" s="3" t="n">
        <x:v>100</x:v>
      </x:c>
      <x:c r="I19" s="10" t="n">
        <x:f>C19*H19</x:f>
        <x:v>1</x:v>
      </x:c>
      <x:c r="J19" s="1"/>
      <x:c r="K19" s="1" t="str">
        <x:v>https://aws.amazon.com/ec2/pricing/on-demand/</x:v>
      </x:c>
      <x:c r="L19" s="1"/>
    </x:row>
    <x:row r="20">
      <x:c r="A20" s="1" t="str">
        <x:v>S3 storage incl. state/logs</x:v>
      </x:c>
      <x:c r="B20" s="1" t="str">
        <x:v>GB-month</x:v>
      </x:c>
      <x:c r="C20" s="9" t="n">
        <x:v>0.025</x:v>
      </x:c>
      <x:c r="D20" s="3" t="n">
        <x:v>50</x:v>
      </x:c>
      <x:c r="E20" s="10" t="n">
        <x:f>C20*D20</x:f>
        <x:v>1.25</x:v>
      </x:c>
      <x:c r="F20" s="3" t="n">
        <x:v>150</x:v>
      </x:c>
      <x:c r="G20" s="10" t="n">
        <x:f>C20*F20</x:f>
        <x:v>3.75</x:v>
      </x:c>
      <x:c r="H20" s="3" t="n">
        <x:v>50</x:v>
      </x:c>
      <x:c r="I20" s="10" t="n">
        <x:f>C20*H20</x:f>
        <x:v>1.25</x:v>
      </x:c>
      <x:c r="J20" s="1"/>
      <x:c r="K20" s="1" t="str">
        <x:v>https://aws.amazon.com/s3/pricing/</x:v>
      </x:c>
      <x:c r="L20" s="1"/>
    </x:row>
    <x:row r="21">
      <x:c r="A21" s="1" t="str">
        <x:v>S3 GET requests</x:v>
      </x:c>
      <x:c r="B21" s="1" t="str">
        <x:v>1000 requests</x:v>
      </x:c>
      <x:c r="C21" s="9" t="n">
        <x:v>0.0004</x:v>
      </x:c>
      <x:c r="D21" s="3" t="n">
        <x:v>100</x:v>
      </x:c>
      <x:c r="E21" s="10" t="n">
        <x:f>C21*D21</x:f>
        <x:v>0.04</x:v>
      </x:c>
      <x:c r="F21" s="3" t="n">
        <x:v>1000</x:v>
      </x:c>
      <x:c r="G21" s="10" t="n">
        <x:f>C21*F21</x:f>
        <x:v>0.4</x:v>
      </x:c>
      <x:c r="H21" s="3" t="n">
        <x:v>100</x:v>
      </x:c>
      <x:c r="I21" s="10" t="n">
        <x:f>C21*H21</x:f>
        <x:v>0.04</x:v>
      </x:c>
      <x:c r="J21" s="1"/>
      <x:c r="K21" s="1" t="str">
        <x:v>https://aws.amazon.com/s3/pricing/</x:v>
      </x:c>
      <x:c r="L21" s="1"/>
    </x:row>
    <x:row r="22">
      <x:c r="A22" s="1" t="str">
        <x:v>S3 PUT requests</x:v>
      </x:c>
      <x:c r="B22" s="1" t="str">
        <x:v>1000 requests</x:v>
      </x:c>
      <x:c r="C22" s="9" t="n">
        <x:v>0.005</x:v>
      </x:c>
      <x:c r="D22" s="3" t="n">
        <x:v>10</x:v>
      </x:c>
      <x:c r="E22" s="10" t="n">
        <x:f>C22*D22</x:f>
        <x:v>0.05</x:v>
      </x:c>
      <x:c r="F22" s="3" t="n">
        <x:v>100</x:v>
      </x:c>
      <x:c r="G22" s="10" t="n">
        <x:f>C22*F22</x:f>
        <x:v>0.5</x:v>
      </x:c>
      <x:c r="H22" s="3" t="n">
        <x:v>10</x:v>
      </x:c>
      <x:c r="I22" s="10" t="n">
        <x:f>C22*H22</x:f>
        <x:v>0.05</x:v>
      </x:c>
      <x:c r="J22" s="1"/>
      <x:c r="K22" s="1" t="str">
        <x:v>https://aws.amazon.com/s3/pricing/</x:v>
      </x:c>
      <x:c r="L22" s="1"/>
    </x:row>
    <x:row r="23">
      <x:c r="A23" s="1" t="str">
        <x:v>CloudFront transfer</x:v>
      </x:c>
      <x:c r="B23" s="1" t="str">
        <x:v>GB</x:v>
      </x:c>
      <x:c r="C23" s="9" t="n">
        <x:v>0.085</x:v>
      </x:c>
      <x:c r="D23" s="3" t="n">
        <x:v>100</x:v>
      </x:c>
      <x:c r="E23" s="10" t="n">
        <x:f>C23*D23</x:f>
        <x:v>8.5</x:v>
      </x:c>
      <x:c r="F23" s="3" t="n">
        <x:v>1000</x:v>
      </x:c>
      <x:c r="G23" s="10" t="n">
        <x:f>C23*F23</x:f>
        <x:v>85</x:v>
      </x:c>
      <x:c r="H23" s="3" t="n">
        <x:v>100</x:v>
      </x:c>
      <x:c r="I23" s="10" t="n">
        <x:f>C23*H23</x:f>
        <x:v>8.5</x:v>
      </x:c>
      <x:c r="J23" s="1"/>
      <x:c r="K23" s="1" t="str">
        <x:v>https://aws.amazon.com/cloudfront/pricing/</x:v>
      </x:c>
      <x:c r="L23" s="1"/>
    </x:row>
    <x:row r="24">
      <x:c r="A24" s="1" t="str">
        <x:v>CloudFront HTTPS requests</x:v>
      </x:c>
      <x:c r="B24" s="1" t="str">
        <x:v>10000 requests</x:v>
      </x:c>
      <x:c r="C24" s="9" t="n">
        <x:v>0.01</x:v>
      </x:c>
      <x:c r="D24" s="3" t="n">
        <x:v>10</x:v>
      </x:c>
      <x:c r="E24" s="10" t="n">
        <x:f>C24*D24</x:f>
        <x:v>0.1</x:v>
      </x:c>
      <x:c r="F24" s="3" t="n">
        <x:v>100</x:v>
      </x:c>
      <x:c r="G24" s="10" t="n">
        <x:f>C24*F24</x:f>
        <x:v>1</x:v>
      </x:c>
      <x:c r="H24" s="3" t="n">
        <x:v>10</x:v>
      </x:c>
      <x:c r="I24" s="10" t="n">
        <x:f>C24*H24</x:f>
        <x:v>0.1</x:v>
      </x:c>
      <x:c r="J24" s="1"/>
      <x:c r="K24" s="1" t="str">
        <x:v>https://aws.amazon.com/cloudfront/pricing/</x:v>
      </x:c>
      <x:c r="L24" s="1"/>
    </x:row>
    <x:row r="25">
      <x:c r="A25" s="1" t="str">
        <x:v>Secrets endpoint (two AZs)</x:v>
      </x:c>
      <x:c r="B25" s="1" t="str">
        <x:v>ENI-hour</x:v>
      </x:c>
      <x:c r="C25" s="9" t="n">
        <x:v>0.01</x:v>
      </x:c>
      <x:c r="D25" s="3" t="n">
        <x:f>$B$4*2</x:f>
        <x:v>1460</x:v>
      </x:c>
      <x:c r="E25" s="10" t="n">
        <x:f>C25*D25</x:f>
        <x:v>14.6</x:v>
      </x:c>
      <x:c r="F25" s="3" t="n">
        <x:f>$B$4*2</x:f>
        <x:v>1460</x:v>
      </x:c>
      <x:c r="G25" s="10" t="n">
        <x:f>C25*F25</x:f>
        <x:v>14.6</x:v>
      </x:c>
      <x:c r="H25" s="3" t="n">
        <x:f>$B$4*2</x:f>
        <x:v>1460</x:v>
      </x:c>
      <x:c r="I25" s="10" t="n">
        <x:f>C25*H25</x:f>
        <x:v>14.6</x:v>
      </x:c>
      <x:c r="J25" s="1"/>
      <x:c r="K25" s="1" t="str">
        <x:v>https://aws.amazon.com/privatelink/pricing/</x:v>
      </x:c>
      <x:c r="L25" s="1"/>
    </x:row>
    <x:row r="26">
      <x:c r="A26" s="1" t="str">
        <x:v>Endpoint data processing</x:v>
      </x:c>
      <x:c r="B26" s="1" t="str">
        <x:v>GB</x:v>
      </x:c>
      <x:c r="C26" s="9" t="n">
        <x:v>0.01</x:v>
      </x:c>
      <x:c r="D26" s="3" t="n">
        <x:v>10</x:v>
      </x:c>
      <x:c r="E26" s="10" t="n">
        <x:f>C26*D26</x:f>
        <x:v>0.1</x:v>
      </x:c>
      <x:c r="F26" s="3" t="n">
        <x:v>30</x:v>
      </x:c>
      <x:c r="G26" s="10" t="n">
        <x:f>C26*F26</x:f>
        <x:v>0.3</x:v>
      </x:c>
      <x:c r="H26" s="3" t="n">
        <x:v>10</x:v>
      </x:c>
      <x:c r="I26" s="10" t="n">
        <x:f>C26*H26</x:f>
        <x:v>0.1</x:v>
      </x:c>
      <x:c r="J26" s="1"/>
      <x:c r="K26" s="1" t="str">
        <x:v>https://aws.amazon.com/privatelink/pricing/</x:v>
      </x:c>
      <x:c r="L26" s="1"/>
    </x:row>
    <x:row r="27">
      <x:c r="A27" s="1" t="str">
        <x:v>S3 gateway endpoint</x:v>
      </x:c>
      <x:c r="B27" s="1" t="str">
        <x:v>hour</x:v>
      </x:c>
      <x:c r="C27" s="9" t="n">
        <x:v>0</x:v>
      </x:c>
      <x:c r="D27" s="3" t="n">
        <x:f>$B$4*1</x:f>
        <x:v>730</x:v>
      </x:c>
      <x:c r="E27" s="10" t="n">
        <x:f>C27*D27</x:f>
        <x:v>0</x:v>
      </x:c>
      <x:c r="F27" s="3" t="n">
        <x:f>$B$4*1</x:f>
        <x:v>730</x:v>
      </x:c>
      <x:c r="G27" s="10" t="n">
        <x:f>C27*F27</x:f>
        <x:v>0</x:v>
      </x:c>
      <x:c r="H27" s="3" t="n">
        <x:f>$B$4*1</x:f>
        <x:v>730</x:v>
      </x:c>
      <x:c r="I27" s="10" t="n">
        <x:f>C27*H27</x:f>
        <x:v>0</x:v>
      </x:c>
      <x:c r="J27" s="1"/>
      <x:c r="K27" s="1" t="str">
        <x:v>https://aws.amazon.com/vpc/pricing/</x:v>
      </x:c>
      <x:c r="L27" s="1"/>
    </x:row>
    <x:row r="28">
      <x:c r="A28" s="1" t="str">
        <x:v>CloudWatch ingestion</x:v>
      </x:c>
      <x:c r="B28" s="1" t="str">
        <x:v>GB</x:v>
      </x:c>
      <x:c r="C28" s="9" t="n">
        <x:v>0.5</x:v>
      </x:c>
      <x:c r="D28" s="3" t="n">
        <x:v>10</x:v>
      </x:c>
      <x:c r="E28" s="10" t="n">
        <x:f>C28*D28</x:f>
        <x:v>5</x:v>
      </x:c>
      <x:c r="F28" s="3" t="n">
        <x:v>50</x:v>
      </x:c>
      <x:c r="G28" s="10" t="n">
        <x:f>C28*F28</x:f>
        <x:v>25</x:v>
      </x:c>
      <x:c r="H28" s="3" t="n">
        <x:v>10</x:v>
      </x:c>
      <x:c r="I28" s="10" t="n">
        <x:f>C28*H28</x:f>
        <x:v>5</x:v>
      </x:c>
      <x:c r="J28" s="1"/>
      <x:c r="K28" s="1" t="str">
        <x:v>https://aws.amazon.com/cloudwatch/pricing/</x:v>
      </x:c>
      <x:c r="L28" s="1"/>
    </x:row>
    <x:row r="29">
      <x:c r="A29" s="1" t="str">
        <x:v>CloudWatch log storage</x:v>
      </x:c>
      <x:c r="B29" s="1" t="str">
        <x:v>GB-month</x:v>
      </x:c>
      <x:c r="C29" s="9" t="n">
        <x:v>0.03</x:v>
      </x:c>
      <x:c r="D29" s="3" t="n">
        <x:v>5</x:v>
      </x:c>
      <x:c r="E29" s="10" t="n">
        <x:f>C29*D29</x:f>
        <x:v>0.15</x:v>
      </x:c>
      <x:c r="F29" s="3" t="n">
        <x:v>150</x:v>
      </x:c>
      <x:c r="G29" s="10" t="n">
        <x:f>C29*F29</x:f>
        <x:v>4.5</x:v>
      </x:c>
      <x:c r="H29" s="3" t="n">
        <x:v>5</x:v>
      </x:c>
      <x:c r="I29" s="10" t="n">
        <x:f>C29*H29</x:f>
        <x:v>0.15</x:v>
      </x:c>
      <x:c r="J29" s="1"/>
      <x:c r="K29" s="1" t="str">
        <x:v>https://aws.amazon.com/cloudwatch/pricing/</x:v>
      </x:c>
      <x:c r="L29" s="1"/>
    </x:row>
    <x:row r="30">
      <x:c r="A30" s="1" t="str">
        <x:v>Secrets Manager (master + app)</x:v>
      </x:c>
      <x:c r="B30" s="1" t="str">
        <x:v>secret-month</x:v>
      </x:c>
      <x:c r="C30" s="9" t="n">
        <x:v>0.4</x:v>
      </x:c>
      <x:c r="D30" s="3" t="n">
        <x:v>5</x:v>
      </x:c>
      <x:c r="E30" s="10" t="n">
        <x:f>C30*D30</x:f>
        <x:v>2</x:v>
      </x:c>
      <x:c r="F30" s="3" t="n">
        <x:v>5</x:v>
      </x:c>
      <x:c r="G30" s="10" t="n">
        <x:f>C30*F30</x:f>
        <x:v>2</x:v>
      </x:c>
      <x:c r="H30" s="3" t="n">
        <x:v>5</x:v>
      </x:c>
      <x:c r="I30" s="10" t="n">
        <x:f>C30*H30</x:f>
        <x:v>2</x:v>
      </x:c>
      <x:c r="J30" s="1"/>
      <x:c r="K30" s="1" t="str">
        <x:v>https://aws.amazon.com/secrets-manager/pricing/</x:v>
      </x:c>
      <x:c r="L30" s="1"/>
    </x:row>
    <x:row r="31">
      <x:c r="A31" s="1" t="str">
        <x:v>Secrets Manager calls</x:v>
      </x:c>
      <x:c r="B31" s="1" t="str">
        <x:v>10000 calls</x:v>
      </x:c>
      <x:c r="C31" s="9" t="n">
        <x:v>0.05</x:v>
      </x:c>
      <x:c r="D31" s="3" t="n">
        <x:v>10</x:v>
      </x:c>
      <x:c r="E31" s="10" t="n">
        <x:f>C31*D31</x:f>
        <x:v>0.5</x:v>
      </x:c>
      <x:c r="F31" s="3" t="n">
        <x:v>30</x:v>
      </x:c>
      <x:c r="G31" s="10" t="n">
        <x:f>C31*F31</x:f>
        <x:v>1.5</x:v>
      </x:c>
      <x:c r="H31" s="3" t="n">
        <x:v>10</x:v>
      </x:c>
      <x:c r="I31" s="10" t="n">
        <x:f>C31*H31</x:f>
        <x:v>0.5</x:v>
      </x:c>
      <x:c r="J31" s="1"/>
      <x:c r="K31" s="1" t="str">
        <x:v>https://aws.amazon.com/secrets-manager/pricing/</x:v>
      </x:c>
      <x:c r="L31" s="1"/>
    </x:row>
    <x:row r="32">
      <x:c r="A32" s="1" t="str">
        <x:v>KMS state key</x:v>
      </x:c>
      <x:c r="B32" s="1" t="str">
        <x:v>key-month</x:v>
      </x:c>
      <x:c r="C32" s="9" t="n">
        <x:v>1</x:v>
      </x:c>
      <x:c r="D32" s="3" t="n">
        <x:v>1</x:v>
      </x:c>
      <x:c r="E32" s="10" t="n">
        <x:f>C32*D32</x:f>
        <x:v>1</x:v>
      </x:c>
      <x:c r="F32" s="3" t="n">
        <x:v>1</x:v>
      </x:c>
      <x:c r="G32" s="10" t="n">
        <x:f>C32*F32</x:f>
        <x:v>1</x:v>
      </x:c>
      <x:c r="H32" s="3" t="n">
        <x:v>1</x:v>
      </x:c>
      <x:c r="I32" s="10" t="n">
        <x:f>C32*H32</x:f>
        <x:v>1</x:v>
      </x:c>
      <x:c r="J32" s="1"/>
      <x:c r="K32" s="1" t="str">
        <x:v>https://aws.amazon.com/kms/pricing/</x:v>
      </x:c>
      <x:c r="L32" s="1"/>
    </x:row>
    <x:row r="33">
      <x:c r="A33" s="1" t="str">
        <x:v>KMS calls</x:v>
      </x:c>
      <x:c r="B33" s="1" t="str">
        <x:v>10000 requests</x:v>
      </x:c>
      <x:c r="C33" s="9" t="n">
        <x:v>0.03</x:v>
      </x:c>
      <x:c r="D33" s="3" t="n">
        <x:v>1</x:v>
      </x:c>
      <x:c r="E33" s="10" t="n">
        <x:f>C33*D33</x:f>
        <x:v>0.03</x:v>
      </x:c>
      <x:c r="F33" s="3" t="n">
        <x:v>3</x:v>
      </x:c>
      <x:c r="G33" s="10" t="n">
        <x:f>C33*F33</x:f>
        <x:v>0.09</x:v>
      </x:c>
      <x:c r="H33" s="3" t="n">
        <x:v>1</x:v>
      </x:c>
      <x:c r="I33" s="10" t="n">
        <x:f>C33*H33</x:f>
        <x:v>0.03</x:v>
      </x:c>
      <x:c r="J33" s="1"/>
      <x:c r="K33" s="1" t="str">
        <x:v>https://aws.amazon.com/kms/pricing/</x:v>
      </x:c>
      <x:c r="L33" s="1"/>
    </x:row>
    <x:row r="34">
      <x:c r="A34" s="1" t="str">
        <x:v>Route 53 zone</x:v>
      </x:c>
      <x:c r="B34" s="1" t="str">
        <x:v>zone-month</x:v>
      </x:c>
      <x:c r="C34" s="9" t="n">
        <x:v>0.5</x:v>
      </x:c>
      <x:c r="D34" s="3" t="n">
        <x:v>1</x:v>
      </x:c>
      <x:c r="E34" s="10" t="n">
        <x:f>C34*D34</x:f>
        <x:v>0.5</x:v>
      </x:c>
      <x:c r="F34" s="3" t="n">
        <x:v>1</x:v>
      </x:c>
      <x:c r="G34" s="10" t="n">
        <x:f>C34*F34</x:f>
        <x:v>0.5</x:v>
      </x:c>
      <x:c r="H34" s="3" t="n">
        <x:v>1</x:v>
      </x:c>
      <x:c r="I34" s="10" t="n">
        <x:f>C34*H34</x:f>
        <x:v>0.5</x:v>
      </x:c>
      <x:c r="J34" s="1"/>
      <x:c r="K34" s="1" t="str">
        <x:v>https://aws.amazon.com/route53/pricing/</x:v>
      </x:c>
      <x:c r="L34" s="1"/>
    </x:row>
    <x:row r="35">
      <x:c r="A35" s="1" t="str">
        <x:v>Internet egress via ALB/NAT</x:v>
      </x:c>
      <x:c r="B35" s="1" t="str">
        <x:v>GB</x:v>
      </x:c>
      <x:c r="C35" s="9" t="n">
        <x:v>0.09</x:v>
      </x:c>
      <x:c r="D35" s="3" t="n">
        <x:v>50</x:v>
      </x:c>
      <x:c r="E35" s="10" t="n">
        <x:f>C35*D35</x:f>
        <x:v>4.5</x:v>
      </x:c>
      <x:c r="F35" s="3" t="n">
        <x:v>200</x:v>
      </x:c>
      <x:c r="G35" s="10" t="n">
        <x:f>C35*F35</x:f>
        <x:v>18</x:v>
      </x:c>
      <x:c r="H35" s="3" t="n">
        <x:v>50</x:v>
      </x:c>
      <x:c r="I35" s="10" t="n">
        <x:f>C35*H35</x:f>
        <x:v>4.5</x:v>
      </x:c>
      <x:c r="J35" s="1"/>
      <x:c r="K35" s="1" t="str">
        <x:v>https://aws.amazon.com/ec2/pricing/on-demand/</x:v>
      </x:c>
      <x:c r="L35" s="1"/>
    </x:row>
    <x:row r="36">
      <x:c r="A36" s="1" t="str">
        <x:v>PROD DB/cache size uplift</x:v>
      </x:c>
      <x:c r="B36" s="1" t="str">
        <x:v>monthly allowance</x:v>
      </x:c>
      <x:c r="C36" s="9" t="n">
        <x:v>105</x:v>
      </x:c>
      <x:c r="D36" s="3" t="n">
        <x:v>0</x:v>
      </x:c>
      <x:c r="E36" s="10" t="n">
        <x:f>C36*D36</x:f>
        <x:v>0</x:v>
      </x:c>
      <x:c r="F36" s="3" t="n">
        <x:v>1</x:v>
      </x:c>
      <x:c r="G36" s="10" t="n">
        <x:f>C36*F36</x:f>
        <x:v>105</x:v>
      </x:c>
      <x:c r="H36" s="3" t="n">
        <x:v>0</x:v>
      </x:c>
      <x:c r="I36" s="10" t="n">
        <x:f>C36*H36</x:f>
        <x:v>0</x:v>
      </x:c>
      <x:c r="J36" s="1"/>
      <x:c r="K36" s="1" t="str">
        <x:v>Planning allowance: replace with approved db.t4g.small/cache.t4g.small quotes</x:v>
      </x:c>
      <x:c r="L36" s="1"/>
    </x:row>
    <x:row r="37">
      <x:c r="A37" s="1"/>
      <x:c r="B37" s="1"/>
      <x:c r="C37" s="1"/>
      <x:c r="D37" s="1"/>
      <x:c r="E37" s="10"/>
      <x:c r="F37" s="1"/>
      <x:c r="G37" s="10"/>
      <x:c r="H37" s="1"/>
      <x:c r="I37" s="10"/>
      <x:c r="J37" s="1"/>
      <x:c r="K37" s="1"/>
      <x:c r="L37" s="1"/>
    </x:row>
    <x:row r="38" ht="26" customHeight="1">
      <x:c r="A38" s="8" t="str">
        <x:v>Estimated monthly total</x:v>
      </x:c>
      <x:c r="B38" s="8"/>
      <x:c r="C38" s="8"/>
      <x:c r="D38" s="8"/>
      <x:c r="E38" s="11" t="n">
        <x:f>SUM(E7:E36)</x:f>
        <x:v>298.71950000000004</x:v>
      </x:c>
      <x:c r="F38" s="8"/>
      <x:c r="G38" s="11" t="n">
        <x:f>SUM(G7:G36)</x:f>
        <x:v>699.0074999999999</x:v>
      </x:c>
      <x:c r="H38" s="8"/>
      <x:c r="I38" s="11" t="n">
        <x:f>SUM(I7:I36)</x:f>
        <x:v>298.71950000000004</x:v>
      </x:c>
      <x:c r="J38" s="1"/>
      <x:c r="K38" s="1"/>
      <x:c r="L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1" t="str">
        <x:v>Blue cells: editable assumptions. Baseline: 4 EC2 / 1 NAT. Rate references reviewed 2026-09-23; regional quotes pending.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</x:sheetData>
  <x:pageMargins left="0.7" right="0.7" top="0.75" bottom="0.75" header="0.3" footer="0.3"/>
</x:worksheet>
</file>